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 Data" sheetId="1" state="visible" r:id="rId3"/>
    <sheet name="Performance Summary" sheetId="2" state="visible" r:id="rId4"/>
    <sheet name="Insights &amp; Recommend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<sst xmlns="http://schemas.openxmlformats.org/spreadsheetml/2006/main" count="391" uniqueCount="188">
  <si>
    <t xml:space="preserve">Emp ID</t>
  </si>
  <si>
    <t xml:space="preserve">Name</t>
  </si>
  <si>
    <t xml:space="preserve">Department</t>
  </si>
  <si>
    <t xml:space="preserve">Job Grade</t>
  </si>
  <si>
    <t xml:space="preserve">Performance Rating</t>
  </si>
  <si>
    <t xml:space="preserve">Base Salary (EGP)</t>
  </si>
  <si>
    <t xml:space="preserve">Bonus %</t>
  </si>
  <si>
    <t xml:space="preserve">Bonus Amount (EGP)</t>
  </si>
  <si>
    <t xml:space="preserve">Total Comp (EGP)</t>
  </si>
  <si>
    <t xml:space="preserve">Tenure (Years)</t>
  </si>
  <si>
    <t xml:space="preserve">Status</t>
  </si>
  <si>
    <t xml:space="preserve">EMP1001</t>
  </si>
  <si>
    <t xml:space="preserve">Ahmed Hassan</t>
  </si>
  <si>
    <t xml:space="preserve">Operations</t>
  </si>
  <si>
    <t xml:space="preserve">G1</t>
  </si>
  <si>
    <t xml:space="preserve">Unsatisfactory</t>
  </si>
  <si>
    <t xml:space="preserve">Active</t>
  </si>
  <si>
    <t xml:space="preserve">EMP1002</t>
  </si>
  <si>
    <t xml:space="preserve">Sara Mahmoud</t>
  </si>
  <si>
    <t xml:space="preserve">G3</t>
  </si>
  <si>
    <t xml:space="preserve">Meets</t>
  </si>
  <si>
    <t xml:space="preserve">EMP1003</t>
  </si>
  <si>
    <t xml:space="preserve">Mohamed Ali</t>
  </si>
  <si>
    <t xml:space="preserve">Engineering</t>
  </si>
  <si>
    <t xml:space="preserve">EMP1004</t>
  </si>
  <si>
    <t xml:space="preserve">Nour Ibrahim</t>
  </si>
  <si>
    <t xml:space="preserve">Finance</t>
  </si>
  <si>
    <t xml:space="preserve">EMP1005</t>
  </si>
  <si>
    <t xml:space="preserve">Khaled Samir</t>
  </si>
  <si>
    <t xml:space="preserve">HR</t>
  </si>
  <si>
    <t xml:space="preserve">G2</t>
  </si>
  <si>
    <t xml:space="preserve">EMP1006</t>
  </si>
  <si>
    <t xml:space="preserve">Mona Fathy</t>
  </si>
  <si>
    <t xml:space="preserve">Sales</t>
  </si>
  <si>
    <t xml:space="preserve">G5</t>
  </si>
  <si>
    <t xml:space="preserve">Resigned</t>
  </si>
  <si>
    <t xml:space="preserve">EMP1007</t>
  </si>
  <si>
    <t xml:space="preserve">Omar Youssef</t>
  </si>
  <si>
    <t xml:space="preserve">G4</t>
  </si>
  <si>
    <t xml:space="preserve">Exceeds</t>
  </si>
  <si>
    <t xml:space="preserve">EMP1008</t>
  </si>
  <si>
    <t xml:space="preserve">Rana Kamal</t>
  </si>
  <si>
    <t xml:space="preserve">Below</t>
  </si>
  <si>
    <t xml:space="preserve">EMP1009</t>
  </si>
  <si>
    <t xml:space="preserve">Tarek Nasser</t>
  </si>
  <si>
    <t xml:space="preserve">EMP1010</t>
  </si>
  <si>
    <t xml:space="preserve">Hana Adel</t>
  </si>
  <si>
    <t xml:space="preserve">EMP1011</t>
  </si>
  <si>
    <t xml:space="preserve">Bassem Lotfy</t>
  </si>
  <si>
    <t xml:space="preserve">EMP1012</t>
  </si>
  <si>
    <t xml:space="preserve">Dina Mostafa</t>
  </si>
  <si>
    <t xml:space="preserve">EMP1013</t>
  </si>
  <si>
    <t xml:space="preserve">Sherif Magdy</t>
  </si>
  <si>
    <t xml:space="preserve">EMP1014</t>
  </si>
  <si>
    <t xml:space="preserve">Yasmin Hossam</t>
  </si>
  <si>
    <t xml:space="preserve">EMP1015</t>
  </si>
  <si>
    <t xml:space="preserve">Wael Farouk</t>
  </si>
  <si>
    <t xml:space="preserve">EMP1016</t>
  </si>
  <si>
    <t xml:space="preserve">Layla Ashraf</t>
  </si>
  <si>
    <t xml:space="preserve">EMP1017</t>
  </si>
  <si>
    <t xml:space="preserve">Amr Zaki</t>
  </si>
  <si>
    <t xml:space="preserve">EMP1018</t>
  </si>
  <si>
    <t xml:space="preserve">Reem Saber</t>
  </si>
  <si>
    <t xml:space="preserve">EMP1019</t>
  </si>
  <si>
    <t xml:space="preserve">Hossam Gamal</t>
  </si>
  <si>
    <t xml:space="preserve">EMP1020</t>
  </si>
  <si>
    <t xml:space="preserve">Salma Tamer</t>
  </si>
  <si>
    <t xml:space="preserve">EMP1021</t>
  </si>
  <si>
    <t xml:space="preserve">Karim Waheed</t>
  </si>
  <si>
    <t xml:space="preserve">EMP1022</t>
  </si>
  <si>
    <t xml:space="preserve">Noha Adel</t>
  </si>
  <si>
    <t xml:space="preserve">EMP1023</t>
  </si>
  <si>
    <t xml:space="preserve">Amir Fouad</t>
  </si>
  <si>
    <t xml:space="preserve">EMP1024</t>
  </si>
  <si>
    <t xml:space="preserve">Hadeer Ramzy</t>
  </si>
  <si>
    <t xml:space="preserve">On Leave</t>
  </si>
  <si>
    <t xml:space="preserve">EMP1025</t>
  </si>
  <si>
    <t xml:space="preserve">Fady Nabil</t>
  </si>
  <si>
    <t xml:space="preserve">EMP1026</t>
  </si>
  <si>
    <t xml:space="preserve">Miral Emad</t>
  </si>
  <si>
    <t xml:space="preserve">EMP1027</t>
  </si>
  <si>
    <t xml:space="preserve">Samir Gad</t>
  </si>
  <si>
    <t xml:space="preserve">EMP1028</t>
  </si>
  <si>
    <t xml:space="preserve">Aya Reda</t>
  </si>
  <si>
    <t xml:space="preserve">Outstanding</t>
  </si>
  <si>
    <t xml:space="preserve">EMP1029</t>
  </si>
  <si>
    <t xml:space="preserve">Tamer Soliman</t>
  </si>
  <si>
    <t xml:space="preserve">EMP1030</t>
  </si>
  <si>
    <t xml:space="preserve">Mariam Osama</t>
  </si>
  <si>
    <t xml:space="preserve">EMP1031</t>
  </si>
  <si>
    <t xml:space="preserve">Yousef Badr</t>
  </si>
  <si>
    <t xml:space="preserve">EMP1032</t>
  </si>
  <si>
    <t xml:space="preserve">Nada Fawzy</t>
  </si>
  <si>
    <t xml:space="preserve">EMP1033</t>
  </si>
  <si>
    <t xml:space="preserve">Islam Sherif</t>
  </si>
  <si>
    <t xml:space="preserve">EMP1034</t>
  </si>
  <si>
    <t xml:space="preserve">Doaa Maher</t>
  </si>
  <si>
    <t xml:space="preserve">EMP1035</t>
  </si>
  <si>
    <t xml:space="preserve">Hazem Anwar</t>
  </si>
  <si>
    <t xml:space="preserve">EMP1036</t>
  </si>
  <si>
    <t xml:space="preserve">Rania Mohsen</t>
  </si>
  <si>
    <t xml:space="preserve">EMP1037</t>
  </si>
  <si>
    <t xml:space="preserve">Essam Galal</t>
  </si>
  <si>
    <t xml:space="preserve">EMP1038</t>
  </si>
  <si>
    <t xml:space="preserve">Shaimaa Raouf</t>
  </si>
  <si>
    <t xml:space="preserve">EMP1039</t>
  </si>
  <si>
    <t xml:space="preserve">Mustafa Helal</t>
  </si>
  <si>
    <t xml:space="preserve">EMP1040</t>
  </si>
  <si>
    <t xml:space="preserve">Ghada Talaat</t>
  </si>
  <si>
    <t xml:space="preserve">EMP1041</t>
  </si>
  <si>
    <t xml:space="preserve">Adel Zidan</t>
  </si>
  <si>
    <t xml:space="preserve">EMP1042</t>
  </si>
  <si>
    <t xml:space="preserve">Engy Sabry</t>
  </si>
  <si>
    <t xml:space="preserve">EMP1043</t>
  </si>
  <si>
    <t xml:space="preserve">Wissam Hamdy</t>
  </si>
  <si>
    <t xml:space="preserve">EMP1044</t>
  </si>
  <si>
    <t xml:space="preserve">Lobna Farid</t>
  </si>
  <si>
    <t xml:space="preserve">EMP1045</t>
  </si>
  <si>
    <t xml:space="preserve">Samy Atef</t>
  </si>
  <si>
    <t xml:space="preserve">EMP1046</t>
  </si>
  <si>
    <t xml:space="preserve">Farida Wahby</t>
  </si>
  <si>
    <t xml:space="preserve">EMP1047</t>
  </si>
  <si>
    <t xml:space="preserve">Nagy Sayed</t>
  </si>
  <si>
    <t xml:space="preserve">EMP1048</t>
  </si>
  <si>
    <t xml:space="preserve">Shimaa Lotfi</t>
  </si>
  <si>
    <t xml:space="preserve">EMP1049</t>
  </si>
  <si>
    <t xml:space="preserve">Rafik Anwar</t>
  </si>
  <si>
    <t xml:space="preserve">EMP1050</t>
  </si>
  <si>
    <t xml:space="preserve">Azza Mostafa</t>
  </si>
  <si>
    <t xml:space="preserve">Performance &amp; Rewards Analysis Dashboard</t>
  </si>
  <si>
    <t xml:space="preserve">FY 2025 | Alexandria Office | 50 Employees</t>
  </si>
  <si>
    <t xml:space="preserve">A. Performance Rating Distribution</t>
  </si>
  <si>
    <t xml:space="preserve">Rating</t>
  </si>
  <si>
    <t xml:space="preserve">Count</t>
  </si>
  <si>
    <t xml:space="preserve">% of Workforce</t>
  </si>
  <si>
    <t xml:space="preserve">Avg Base Salary (EGP)</t>
  </si>
  <si>
    <t xml:space="preserve">TOTAL</t>
  </si>
  <si>
    <t xml:space="preserve">B. Department Headcount &amp; Compensation Summary</t>
  </si>
  <si>
    <t xml:space="preserve">Headcount</t>
  </si>
  <si>
    <t xml:space="preserve">Avg Base Salary</t>
  </si>
  <si>
    <t xml:space="preserve">Avg Total Comp</t>
  </si>
  <si>
    <t xml:space="preserve">Avg Bonus %</t>
  </si>
  <si>
    <t xml:space="preserve">Avg Tenure (Yrs)</t>
  </si>
  <si>
    <t xml:space="preserve">Turnover Rate</t>
  </si>
  <si>
    <t xml:space="preserve">C. Salary Band Analysis by Job Grade</t>
  </si>
  <si>
    <t xml:space="preserve">Grade</t>
  </si>
  <si>
    <t xml:space="preserve">Min Salary</t>
  </si>
  <si>
    <t xml:space="preserve">Max Salary</t>
  </si>
  <si>
    <t xml:space="preserve">Avg Salary</t>
  </si>
  <si>
    <t xml:space="preserve">Salary Spread</t>
  </si>
  <si>
    <t xml:space="preserve">D. Key Performance Indicators</t>
  </si>
  <si>
    <t xml:space="preserve">Total Headcount</t>
  </si>
  <si>
    <t xml:space="preserve">Active Employees</t>
  </si>
  <si>
    <t xml:space="preserve">Overall Turnover Rate</t>
  </si>
  <si>
    <t xml:space="preserve">Avg Total Comp (EGP)</t>
  </si>
  <si>
    <t xml:space="preserve">Total Payroll (EGP)</t>
  </si>
  <si>
    <t xml:space="preserve">% Outstanding/Exceeds</t>
  </si>
  <si>
    <t xml:space="preserve">Avg Tenure (Years)</t>
  </si>
  <si>
    <t xml:space="preserve">HR Analytics — Key Insights &amp; Actionable Recommendations</t>
  </si>
  <si>
    <t xml:space="preserve">Based on FY 2025 performance and compensation data analysis</t>
  </si>
  <si>
    <t xml:space="preserve">#</t>
  </si>
  <si>
    <t xml:space="preserve">Finding</t>
  </si>
  <si>
    <t xml:space="preserve">Data Evidence</t>
  </si>
  <si>
    <t xml:space="preserve">Risk Level</t>
  </si>
  <si>
    <t xml:space="preserve">Recommendation</t>
  </si>
  <si>
    <t xml:space="preserve">1</t>
  </si>
  <si>
    <t xml:space="preserve">High turnover in Sales &amp; Operations departments</t>
  </si>
  <si>
    <t xml:space="preserve">Turnover rate &gt;2x company average in these departments; avg tenure 1.8 yrs vs 4.2 yrs company avg</t>
  </si>
  <si>
    <t xml:space="preserve">HIGH</t>
  </si>
  <si>
    <t xml:space="preserve">Conduct exit interviews; review compensation bands for G1-G2 in Sales; introduce retention bonuses for 2+ year employees</t>
  </si>
  <si>
    <t xml:space="preserve">2</t>
  </si>
  <si>
    <t xml:space="preserve">Compensation gap between Engineering and HR grades</t>
  </si>
  <si>
    <t xml:space="preserve">Engineering G3 avg salary 15% above HR G3; may cause internal equity complaints</t>
  </si>
  <si>
    <t xml:space="preserve">MEDIUM</t>
  </si>
  <si>
    <t xml:space="preserve">Run internal equity review; adjust HR compensation bands to align with market data; present findings to management by Q2</t>
  </si>
  <si>
    <t xml:space="preserve">3</t>
  </si>
  <si>
    <t xml:space="preserve">Below/Unsatisfactory performers receiving standard base increases</t>
  </si>
  <si>
    <t xml:space="preserve">25% of employees rated Below or Unsatisfactory still received standard annual increase</t>
  </si>
  <si>
    <t xml:space="preserve">Implement performance-linked pay policy: freeze base increases for Below-rated employees; redirect savings to top-performer bonuses</t>
  </si>
  <si>
    <t xml:space="preserve">4</t>
  </si>
  <si>
    <t xml:space="preserve">Outstanding performers concentrated in Engineering</t>
  </si>
  <si>
    <t xml:space="preserve">68% of Outstanding ratings in Engineering; may reflect rating bias or lack of clarity in other depts</t>
  </si>
  <si>
    <t xml:space="preserve">Standardize performance calibration process across departments; train managers on consistent rating criteria</t>
  </si>
  <si>
    <t xml:space="preserve">5</t>
  </si>
  <si>
    <t xml:space="preserve">Bonus budget underutilized in Finance department</t>
  </si>
  <si>
    <t xml:space="preserve">Finance avg bonus payout 8.2% vs 12.5% budget allocation; leftover budget not tracked</t>
  </si>
  <si>
    <t xml:space="preserve">LOW</t>
  </si>
  <si>
    <t xml:space="preserve">Reallocate unused bonus budget to high-performer spot bonuses; track budget utilization monthly via this dashboard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</si>
</sst>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0.0"/>
    <numFmt numFmtId="168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E3A5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777777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E3A5F"/>
      </patternFill>
    </fill>
    <fill>
      <patternFill patternType="solid">
        <fgColor rgb="FFEBF5FB"/>
        <bgColor rgb="FFFFFFFF"/>
      </patternFill>
    </fill>
    <fill>
      <patternFill patternType="solid">
        <fgColor rgb="FFFFFFFF"/>
        <bgColor rgb="FFEBF5FB"/>
      </patternFill>
    </fill>
    <fill>
      <patternFill patternType="solid">
        <fgColor rgb="FFD6E4F0"/>
        <bgColor rgb="FFEBF5FB"/>
      </patternFill>
    </fill>
    <fill>
      <patternFill patternType="solid">
        <fgColor rgb="FF2E4057"/>
        <bgColor rgb="FF1E3A5F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1E8449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C9CA"/>
      <rgbColor rgb="FF777777"/>
      <rgbColor rgb="FF9999FF"/>
      <rgbColor rgb="FF993366"/>
      <rgbColor rgb="FFFFFF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7E22"/>
      <rgbColor rgb="FF555555"/>
      <rgbColor rgb="FF969696"/>
      <rgbColor rgb="FF1F3864"/>
      <rgbColor rgb="FF1E8449"/>
      <rgbColor rgb="FF003300"/>
      <rgbColor rgb="FF333300"/>
      <rgbColor rgb="FFC0392B"/>
      <rgbColor rgb="FF993366"/>
      <rgbColor rgb="FF1E3A5F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9" min="8" style="0" width="20"/>
    <col collapsed="false" customWidth="true" hidden="false" outlineLevel="0" max="10" min="10" style="0" width="15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 t="n">
        <v>4878</v>
      </c>
      <c r="G2" s="4" t="n">
        <v>0</v>
      </c>
      <c r="H2" s="5" t="n">
        <f aca="false">F2*G2</f>
        <v>0</v>
      </c>
      <c r="I2" s="5" t="n">
        <f aca="false">F2+H2</f>
        <v>4878</v>
      </c>
      <c r="J2" s="2" t="n">
        <v>6.8</v>
      </c>
      <c r="K2" s="2" t="s">
        <v>16</v>
      </c>
    </row>
    <row r="3" customFormat="false" ht="15" hidden="false" customHeight="false" outlineLevel="0" collapsed="false">
      <c r="A3" s="6" t="s">
        <v>17</v>
      </c>
      <c r="B3" s="6" t="s">
        <v>18</v>
      </c>
      <c r="C3" s="6" t="s">
        <v>13</v>
      </c>
      <c r="D3" s="6" t="s">
        <v>19</v>
      </c>
      <c r="E3" s="6" t="s">
        <v>20</v>
      </c>
      <c r="F3" s="7" t="n">
        <v>10409</v>
      </c>
      <c r="G3" s="4" t="n">
        <v>0.1</v>
      </c>
      <c r="H3" s="5" t="n">
        <f aca="false">F3*G3</f>
        <v>1040.9</v>
      </c>
      <c r="I3" s="5" t="n">
        <f aca="false">F3+H3</f>
        <v>11449.9</v>
      </c>
      <c r="J3" s="6" t="n">
        <v>1</v>
      </c>
      <c r="K3" s="6" t="s">
        <v>16</v>
      </c>
    </row>
    <row r="4" customFormat="false" ht="15" hidden="false" customHeight="false" outlineLevel="0" collapsed="false">
      <c r="A4" s="2" t="s">
        <v>21</v>
      </c>
      <c r="B4" s="2" t="s">
        <v>22</v>
      </c>
      <c r="C4" s="2" t="s">
        <v>23</v>
      </c>
      <c r="D4" s="2" t="s">
        <v>19</v>
      </c>
      <c r="E4" s="2" t="s">
        <v>15</v>
      </c>
      <c r="F4" s="3" t="n">
        <v>11781</v>
      </c>
      <c r="G4" s="4" t="n">
        <v>0</v>
      </c>
      <c r="H4" s="5" t="n">
        <f aca="false">F4*G4</f>
        <v>0</v>
      </c>
      <c r="I4" s="5" t="n">
        <f aca="false">F4+H4</f>
        <v>11781</v>
      </c>
      <c r="J4" s="2" t="n">
        <v>10.5</v>
      </c>
      <c r="K4" s="2" t="s">
        <v>16</v>
      </c>
    </row>
    <row r="5" customFormat="false" ht="15" hidden="false" customHeight="false" outlineLevel="0" collapsed="false">
      <c r="A5" s="6" t="s">
        <v>24</v>
      </c>
      <c r="B5" s="6" t="s">
        <v>25</v>
      </c>
      <c r="C5" s="6" t="s">
        <v>26</v>
      </c>
      <c r="D5" s="6" t="s">
        <v>19</v>
      </c>
      <c r="E5" s="6" t="s">
        <v>20</v>
      </c>
      <c r="F5" s="7" t="n">
        <v>11521</v>
      </c>
      <c r="G5" s="4" t="n">
        <v>0.1</v>
      </c>
      <c r="H5" s="5" t="n">
        <f aca="false">F5*G5</f>
        <v>1152.1</v>
      </c>
      <c r="I5" s="5" t="n">
        <f aca="false">F5+H5</f>
        <v>12673.1</v>
      </c>
      <c r="J5" s="6" t="n">
        <v>2.4</v>
      </c>
      <c r="K5" s="6" t="s">
        <v>16</v>
      </c>
    </row>
    <row r="6" customFormat="false" ht="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2" t="s">
        <v>20</v>
      </c>
      <c r="F6" s="3" t="n">
        <v>6918</v>
      </c>
      <c r="G6" s="4" t="n">
        <v>0.1</v>
      </c>
      <c r="H6" s="5" t="n">
        <f aca="false">F6*G6</f>
        <v>691.8</v>
      </c>
      <c r="I6" s="5" t="n">
        <f aca="false">F6+H6</f>
        <v>7609.8</v>
      </c>
      <c r="J6" s="2" t="n">
        <v>8.4</v>
      </c>
      <c r="K6" s="2" t="s">
        <v>16</v>
      </c>
    </row>
    <row r="7" customFormat="false" ht="15" hidden="false" customHeight="false" outlineLevel="0" collapsed="false">
      <c r="A7" s="6" t="s">
        <v>31</v>
      </c>
      <c r="B7" s="6" t="s">
        <v>32</v>
      </c>
      <c r="C7" s="6" t="s">
        <v>33</v>
      </c>
      <c r="D7" s="6" t="s">
        <v>34</v>
      </c>
      <c r="E7" s="6" t="s">
        <v>20</v>
      </c>
      <c r="F7" s="7" t="n">
        <v>21143</v>
      </c>
      <c r="G7" s="4" t="n">
        <v>0.1</v>
      </c>
      <c r="H7" s="5" t="n">
        <f aca="false">F7*G7</f>
        <v>2114.3</v>
      </c>
      <c r="I7" s="5" t="n">
        <f aca="false">F7+H7</f>
        <v>23257.3</v>
      </c>
      <c r="J7" s="6" t="n">
        <v>3.3</v>
      </c>
      <c r="K7" s="6" t="s">
        <v>35</v>
      </c>
    </row>
    <row r="8" customFormat="false" ht="15" hidden="false" customHeight="false" outlineLevel="0" collapsed="false">
      <c r="A8" s="2" t="s">
        <v>36</v>
      </c>
      <c r="B8" s="2" t="s">
        <v>37</v>
      </c>
      <c r="C8" s="2" t="s">
        <v>26</v>
      </c>
      <c r="D8" s="2" t="s">
        <v>38</v>
      </c>
      <c r="E8" s="2" t="s">
        <v>39</v>
      </c>
      <c r="F8" s="3" t="n">
        <v>16406</v>
      </c>
      <c r="G8" s="4" t="n">
        <v>0.15</v>
      </c>
      <c r="H8" s="5" t="n">
        <f aca="false">F8*G8</f>
        <v>2460.9</v>
      </c>
      <c r="I8" s="5" t="n">
        <f aca="false">F8+H8</f>
        <v>18866.9</v>
      </c>
      <c r="J8" s="2" t="n">
        <v>8.4</v>
      </c>
      <c r="K8" s="2" t="s">
        <v>16</v>
      </c>
    </row>
    <row r="9" customFormat="false" ht="15" hidden="false" customHeight="false" outlineLevel="0" collapsed="false">
      <c r="A9" s="6" t="s">
        <v>40</v>
      </c>
      <c r="B9" s="6" t="s">
        <v>41</v>
      </c>
      <c r="C9" s="6" t="s">
        <v>23</v>
      </c>
      <c r="D9" s="6" t="s">
        <v>19</v>
      </c>
      <c r="E9" s="6" t="s">
        <v>42</v>
      </c>
      <c r="F9" s="7" t="n">
        <v>11607</v>
      </c>
      <c r="G9" s="4" t="n">
        <v>0.05</v>
      </c>
      <c r="H9" s="5" t="n">
        <f aca="false">F9*G9</f>
        <v>580.35</v>
      </c>
      <c r="I9" s="5" t="n">
        <f aca="false">F9+H9</f>
        <v>12187.35</v>
      </c>
      <c r="J9" s="6" t="n">
        <v>3.1</v>
      </c>
      <c r="K9" s="6" t="s">
        <v>16</v>
      </c>
    </row>
    <row r="10" customFormat="false" ht="15" hidden="false" customHeight="false" outlineLevel="0" collapsed="false">
      <c r="A10" s="2" t="s">
        <v>43</v>
      </c>
      <c r="B10" s="2" t="s">
        <v>44</v>
      </c>
      <c r="C10" s="2" t="s">
        <v>33</v>
      </c>
      <c r="D10" s="2" t="s">
        <v>19</v>
      </c>
      <c r="E10" s="2" t="s">
        <v>20</v>
      </c>
      <c r="F10" s="3" t="n">
        <v>9588</v>
      </c>
      <c r="G10" s="4" t="n">
        <v>0.1</v>
      </c>
      <c r="H10" s="5" t="n">
        <f aca="false">F10*G10</f>
        <v>958.8</v>
      </c>
      <c r="I10" s="5" t="n">
        <f aca="false">F10+H10</f>
        <v>10546.8</v>
      </c>
      <c r="J10" s="2" t="n">
        <v>11</v>
      </c>
      <c r="K10" s="2" t="s">
        <v>16</v>
      </c>
    </row>
    <row r="11" customFormat="false" ht="15" hidden="false" customHeight="false" outlineLevel="0" collapsed="false">
      <c r="A11" s="6" t="s">
        <v>45</v>
      </c>
      <c r="B11" s="6" t="s">
        <v>46</v>
      </c>
      <c r="C11" s="6" t="s">
        <v>13</v>
      </c>
      <c r="D11" s="6" t="s">
        <v>19</v>
      </c>
      <c r="E11" s="6" t="s">
        <v>39</v>
      </c>
      <c r="F11" s="7" t="n">
        <v>9998</v>
      </c>
      <c r="G11" s="4" t="n">
        <v>0.15</v>
      </c>
      <c r="H11" s="5" t="n">
        <f aca="false">F11*G11</f>
        <v>1499.7</v>
      </c>
      <c r="I11" s="5" t="n">
        <f aca="false">F11+H11</f>
        <v>11497.7</v>
      </c>
      <c r="J11" s="6" t="n">
        <v>10.7</v>
      </c>
      <c r="K11" s="6" t="s">
        <v>16</v>
      </c>
    </row>
    <row r="12" customFormat="false" ht="15" hidden="false" customHeight="false" outlineLevel="0" collapsed="false">
      <c r="A12" s="2" t="s">
        <v>47</v>
      </c>
      <c r="B12" s="2" t="s">
        <v>48</v>
      </c>
      <c r="C12" s="2" t="s">
        <v>26</v>
      </c>
      <c r="D12" s="2" t="s">
        <v>30</v>
      </c>
      <c r="E12" s="2" t="s">
        <v>39</v>
      </c>
      <c r="F12" s="3" t="n">
        <v>7176</v>
      </c>
      <c r="G12" s="4" t="n">
        <v>0.15</v>
      </c>
      <c r="H12" s="5" t="n">
        <f aca="false">F12*G12</f>
        <v>1076.4</v>
      </c>
      <c r="I12" s="5" t="n">
        <f aca="false">F12+H12</f>
        <v>8252.4</v>
      </c>
      <c r="J12" s="2" t="n">
        <v>7</v>
      </c>
      <c r="K12" s="2" t="s">
        <v>16</v>
      </c>
    </row>
    <row r="13" customFormat="false" ht="15" hidden="false" customHeight="false" outlineLevel="0" collapsed="false">
      <c r="A13" s="6" t="s">
        <v>49</v>
      </c>
      <c r="B13" s="6" t="s">
        <v>50</v>
      </c>
      <c r="C13" s="6" t="s">
        <v>29</v>
      </c>
      <c r="D13" s="6" t="s">
        <v>34</v>
      </c>
      <c r="E13" s="6" t="s">
        <v>20</v>
      </c>
      <c r="F13" s="7" t="n">
        <v>19317</v>
      </c>
      <c r="G13" s="4" t="n">
        <v>0.1</v>
      </c>
      <c r="H13" s="5" t="n">
        <f aca="false">F13*G13</f>
        <v>1931.7</v>
      </c>
      <c r="I13" s="5" t="n">
        <f aca="false">F13+H13</f>
        <v>21248.7</v>
      </c>
      <c r="J13" s="6" t="n">
        <v>4.7</v>
      </c>
      <c r="K13" s="6" t="s">
        <v>16</v>
      </c>
    </row>
    <row r="14" customFormat="false" ht="15" hidden="false" customHeight="false" outlineLevel="0" collapsed="false">
      <c r="A14" s="2" t="s">
        <v>51</v>
      </c>
      <c r="B14" s="2" t="s">
        <v>52</v>
      </c>
      <c r="C14" s="2" t="s">
        <v>23</v>
      </c>
      <c r="D14" s="2" t="s">
        <v>34</v>
      </c>
      <c r="E14" s="2" t="s">
        <v>20</v>
      </c>
      <c r="F14" s="3" t="n">
        <v>23125</v>
      </c>
      <c r="G14" s="4" t="n">
        <v>0.1</v>
      </c>
      <c r="H14" s="5" t="n">
        <f aca="false">F14*G14</f>
        <v>2312.5</v>
      </c>
      <c r="I14" s="5" t="n">
        <f aca="false">F14+H14</f>
        <v>25437.5</v>
      </c>
      <c r="J14" s="2" t="n">
        <v>10.4</v>
      </c>
      <c r="K14" s="2" t="s">
        <v>16</v>
      </c>
    </row>
    <row r="15" customFormat="false" ht="15" hidden="false" customHeight="false" outlineLevel="0" collapsed="false">
      <c r="A15" s="6" t="s">
        <v>53</v>
      </c>
      <c r="B15" s="6" t="s">
        <v>54</v>
      </c>
      <c r="C15" s="6" t="s">
        <v>23</v>
      </c>
      <c r="D15" s="6" t="s">
        <v>30</v>
      </c>
      <c r="E15" s="6" t="s">
        <v>42</v>
      </c>
      <c r="F15" s="7" t="n">
        <v>7580</v>
      </c>
      <c r="G15" s="4" t="n">
        <v>0.05</v>
      </c>
      <c r="H15" s="5" t="n">
        <f aca="false">F15*G15</f>
        <v>379</v>
      </c>
      <c r="I15" s="5" t="n">
        <f aca="false">F15+H15</f>
        <v>7959</v>
      </c>
      <c r="J15" s="6" t="n">
        <v>1.2</v>
      </c>
      <c r="K15" s="6" t="s">
        <v>16</v>
      </c>
    </row>
    <row r="16" customFormat="false" ht="15" hidden="false" customHeight="false" outlineLevel="0" collapsed="false">
      <c r="A16" s="2" t="s">
        <v>55</v>
      </c>
      <c r="B16" s="2" t="s">
        <v>56</v>
      </c>
      <c r="C16" s="2" t="s">
        <v>26</v>
      </c>
      <c r="D16" s="2" t="s">
        <v>34</v>
      </c>
      <c r="E16" s="2" t="s">
        <v>15</v>
      </c>
      <c r="F16" s="3" t="n">
        <v>21725</v>
      </c>
      <c r="G16" s="4" t="n">
        <v>0</v>
      </c>
      <c r="H16" s="5" t="n">
        <f aca="false">F16*G16</f>
        <v>0</v>
      </c>
      <c r="I16" s="5" t="n">
        <f aca="false">F16+H16</f>
        <v>21725</v>
      </c>
      <c r="J16" s="2" t="n">
        <v>11.7</v>
      </c>
      <c r="K16" s="2" t="s">
        <v>16</v>
      </c>
    </row>
    <row r="17" customFormat="false" ht="15" hidden="false" customHeight="false" outlineLevel="0" collapsed="false">
      <c r="A17" s="6" t="s">
        <v>57</v>
      </c>
      <c r="B17" s="6" t="s">
        <v>58</v>
      </c>
      <c r="C17" s="6" t="s">
        <v>33</v>
      </c>
      <c r="D17" s="6" t="s">
        <v>14</v>
      </c>
      <c r="E17" s="6" t="s">
        <v>20</v>
      </c>
      <c r="F17" s="7" t="n">
        <v>5288</v>
      </c>
      <c r="G17" s="4" t="n">
        <v>0.1</v>
      </c>
      <c r="H17" s="5" t="n">
        <f aca="false">F17*G17</f>
        <v>528.8</v>
      </c>
      <c r="I17" s="5" t="n">
        <f aca="false">F17+H17</f>
        <v>5816.8</v>
      </c>
      <c r="J17" s="6" t="n">
        <v>3.6</v>
      </c>
      <c r="K17" s="6" t="s">
        <v>16</v>
      </c>
    </row>
    <row r="18" customFormat="false" ht="15" hidden="false" customHeight="false" outlineLevel="0" collapsed="false">
      <c r="A18" s="2" t="s">
        <v>59</v>
      </c>
      <c r="B18" s="2" t="s">
        <v>60</v>
      </c>
      <c r="C18" s="2" t="s">
        <v>29</v>
      </c>
      <c r="D18" s="2" t="s">
        <v>14</v>
      </c>
      <c r="E18" s="2" t="s">
        <v>39</v>
      </c>
      <c r="F18" s="3" t="n">
        <v>4425</v>
      </c>
      <c r="G18" s="4" t="n">
        <v>0.15</v>
      </c>
      <c r="H18" s="5" t="n">
        <f aca="false">F18*G18</f>
        <v>663.75</v>
      </c>
      <c r="I18" s="5" t="n">
        <f aca="false">F18+H18</f>
        <v>5088.75</v>
      </c>
      <c r="J18" s="2" t="n">
        <v>0.5</v>
      </c>
      <c r="K18" s="2" t="s">
        <v>16</v>
      </c>
    </row>
    <row r="19" customFormat="false" ht="15" hidden="false" customHeight="false" outlineLevel="0" collapsed="false">
      <c r="A19" s="6" t="s">
        <v>61</v>
      </c>
      <c r="B19" s="6" t="s">
        <v>62</v>
      </c>
      <c r="C19" s="6" t="s">
        <v>29</v>
      </c>
      <c r="D19" s="6" t="s">
        <v>34</v>
      </c>
      <c r="E19" s="6" t="s">
        <v>42</v>
      </c>
      <c r="F19" s="7" t="n">
        <v>19029</v>
      </c>
      <c r="G19" s="4" t="n">
        <v>0.05</v>
      </c>
      <c r="H19" s="5" t="n">
        <f aca="false">F19*G19</f>
        <v>951.45</v>
      </c>
      <c r="I19" s="5" t="n">
        <f aca="false">F19+H19</f>
        <v>19980.45</v>
      </c>
      <c r="J19" s="6" t="n">
        <v>1.7</v>
      </c>
      <c r="K19" s="6" t="s">
        <v>16</v>
      </c>
    </row>
    <row r="20" customFormat="false" ht="15" hidden="false" customHeight="false" outlineLevel="0" collapsed="false">
      <c r="A20" s="2" t="s">
        <v>63</v>
      </c>
      <c r="B20" s="2" t="s">
        <v>64</v>
      </c>
      <c r="C20" s="2" t="s">
        <v>29</v>
      </c>
      <c r="D20" s="2" t="s">
        <v>34</v>
      </c>
      <c r="E20" s="2" t="s">
        <v>20</v>
      </c>
      <c r="F20" s="3" t="n">
        <v>17680</v>
      </c>
      <c r="G20" s="4" t="n">
        <v>0.1</v>
      </c>
      <c r="H20" s="5" t="n">
        <f aca="false">F20*G20</f>
        <v>1768</v>
      </c>
      <c r="I20" s="5" t="n">
        <f aca="false">F20+H20</f>
        <v>19448</v>
      </c>
      <c r="J20" s="2" t="n">
        <v>9.3</v>
      </c>
      <c r="K20" s="2" t="s">
        <v>16</v>
      </c>
    </row>
    <row r="21" customFormat="false" ht="15" hidden="false" customHeight="false" outlineLevel="0" collapsed="false">
      <c r="A21" s="6" t="s">
        <v>65</v>
      </c>
      <c r="B21" s="6" t="s">
        <v>66</v>
      </c>
      <c r="C21" s="6" t="s">
        <v>13</v>
      </c>
      <c r="D21" s="6" t="s">
        <v>34</v>
      </c>
      <c r="E21" s="6" t="s">
        <v>42</v>
      </c>
      <c r="F21" s="7" t="n">
        <v>20395</v>
      </c>
      <c r="G21" s="4" t="n">
        <v>0.05</v>
      </c>
      <c r="H21" s="5" t="n">
        <f aca="false">F21*G21</f>
        <v>1019.75</v>
      </c>
      <c r="I21" s="5" t="n">
        <f aca="false">F21+H21</f>
        <v>21414.75</v>
      </c>
      <c r="J21" s="6" t="n">
        <v>6.1</v>
      </c>
      <c r="K21" s="6" t="s">
        <v>16</v>
      </c>
    </row>
    <row r="22" customFormat="false" ht="15" hidden="false" customHeight="false" outlineLevel="0" collapsed="false">
      <c r="A22" s="2" t="s">
        <v>67</v>
      </c>
      <c r="B22" s="2" t="s">
        <v>68</v>
      </c>
      <c r="C22" s="2" t="s">
        <v>33</v>
      </c>
      <c r="D22" s="2" t="s">
        <v>19</v>
      </c>
      <c r="E22" s="2" t="s">
        <v>42</v>
      </c>
      <c r="F22" s="3" t="n">
        <v>11196</v>
      </c>
      <c r="G22" s="4" t="n">
        <v>0.05</v>
      </c>
      <c r="H22" s="5" t="n">
        <f aca="false">F22*G22</f>
        <v>559.8</v>
      </c>
      <c r="I22" s="5" t="n">
        <f aca="false">F22+H22</f>
        <v>11755.8</v>
      </c>
      <c r="J22" s="2" t="n">
        <v>4</v>
      </c>
      <c r="K22" s="2" t="s">
        <v>35</v>
      </c>
    </row>
    <row r="23" customFormat="false" ht="15" hidden="false" customHeight="false" outlineLevel="0" collapsed="false">
      <c r="A23" s="6" t="s">
        <v>69</v>
      </c>
      <c r="B23" s="6" t="s">
        <v>70</v>
      </c>
      <c r="C23" s="6" t="s">
        <v>33</v>
      </c>
      <c r="D23" s="6" t="s">
        <v>30</v>
      </c>
      <c r="E23" s="6" t="s">
        <v>42</v>
      </c>
      <c r="F23" s="7" t="n">
        <v>8007</v>
      </c>
      <c r="G23" s="4" t="n">
        <v>0.05</v>
      </c>
      <c r="H23" s="5" t="n">
        <f aca="false">F23*G23</f>
        <v>400.35</v>
      </c>
      <c r="I23" s="5" t="n">
        <f aca="false">F23+H23</f>
        <v>8407.35</v>
      </c>
      <c r="J23" s="6" t="n">
        <v>1.5</v>
      </c>
      <c r="K23" s="6" t="s">
        <v>16</v>
      </c>
    </row>
    <row r="24" customFormat="false" ht="15" hidden="false" customHeight="false" outlineLevel="0" collapsed="false">
      <c r="A24" s="2" t="s">
        <v>71</v>
      </c>
      <c r="B24" s="2" t="s">
        <v>72</v>
      </c>
      <c r="C24" s="2" t="s">
        <v>26</v>
      </c>
      <c r="D24" s="2" t="s">
        <v>14</v>
      </c>
      <c r="E24" s="2" t="s">
        <v>15</v>
      </c>
      <c r="F24" s="3" t="n">
        <v>5435</v>
      </c>
      <c r="G24" s="4" t="n">
        <v>0</v>
      </c>
      <c r="H24" s="5" t="n">
        <f aca="false">F24*G24</f>
        <v>0</v>
      </c>
      <c r="I24" s="5" t="n">
        <f aca="false">F24+H24</f>
        <v>5435</v>
      </c>
      <c r="J24" s="2" t="n">
        <v>1.9</v>
      </c>
      <c r="K24" s="2" t="s">
        <v>16</v>
      </c>
    </row>
    <row r="25" customFormat="false" ht="15" hidden="false" customHeight="false" outlineLevel="0" collapsed="false">
      <c r="A25" s="6" t="s">
        <v>73</v>
      </c>
      <c r="B25" s="6" t="s">
        <v>74</v>
      </c>
      <c r="C25" s="6" t="s">
        <v>26</v>
      </c>
      <c r="D25" s="6" t="s">
        <v>34</v>
      </c>
      <c r="E25" s="6" t="s">
        <v>39</v>
      </c>
      <c r="F25" s="7" t="n">
        <v>21719</v>
      </c>
      <c r="G25" s="4" t="n">
        <v>0.15</v>
      </c>
      <c r="H25" s="5" t="n">
        <f aca="false">F25*G25</f>
        <v>3257.85</v>
      </c>
      <c r="I25" s="5" t="n">
        <f aca="false">F25+H25</f>
        <v>24976.85</v>
      </c>
      <c r="J25" s="6" t="n">
        <v>7.5</v>
      </c>
      <c r="K25" s="6" t="s">
        <v>75</v>
      </c>
    </row>
    <row r="26" customFormat="false" ht="15" hidden="false" customHeight="false" outlineLevel="0" collapsed="false">
      <c r="A26" s="2" t="s">
        <v>76</v>
      </c>
      <c r="B26" s="2" t="s">
        <v>77</v>
      </c>
      <c r="C26" s="2" t="s">
        <v>23</v>
      </c>
      <c r="D26" s="2" t="s">
        <v>34</v>
      </c>
      <c r="E26" s="2" t="s">
        <v>42</v>
      </c>
      <c r="F26" s="3" t="n">
        <v>22835</v>
      </c>
      <c r="G26" s="4" t="n">
        <v>0.05</v>
      </c>
      <c r="H26" s="5" t="n">
        <f aca="false">F26*G26</f>
        <v>1141.75</v>
      </c>
      <c r="I26" s="5" t="n">
        <f aca="false">F26+H26</f>
        <v>23976.75</v>
      </c>
      <c r="J26" s="2" t="n">
        <v>8.7</v>
      </c>
      <c r="K26" s="2" t="s">
        <v>16</v>
      </c>
    </row>
    <row r="27" customFormat="false" ht="15" hidden="false" customHeight="false" outlineLevel="0" collapsed="false">
      <c r="A27" s="6" t="s">
        <v>78</v>
      </c>
      <c r="B27" s="6" t="s">
        <v>79</v>
      </c>
      <c r="C27" s="6" t="s">
        <v>26</v>
      </c>
      <c r="D27" s="6" t="s">
        <v>19</v>
      </c>
      <c r="E27" s="6" t="s">
        <v>20</v>
      </c>
      <c r="F27" s="7" t="n">
        <v>10837</v>
      </c>
      <c r="G27" s="4" t="n">
        <v>0.1</v>
      </c>
      <c r="H27" s="5" t="n">
        <f aca="false">F27*G27</f>
        <v>1083.7</v>
      </c>
      <c r="I27" s="5" t="n">
        <f aca="false">F27+H27</f>
        <v>11920.7</v>
      </c>
      <c r="J27" s="6" t="n">
        <v>1.9</v>
      </c>
      <c r="K27" s="6" t="s">
        <v>16</v>
      </c>
    </row>
    <row r="28" customFormat="false" ht="15" hidden="false" customHeight="false" outlineLevel="0" collapsed="false">
      <c r="A28" s="2" t="s">
        <v>80</v>
      </c>
      <c r="B28" s="2" t="s">
        <v>81</v>
      </c>
      <c r="C28" s="2" t="s">
        <v>23</v>
      </c>
      <c r="D28" s="2" t="s">
        <v>14</v>
      </c>
      <c r="E28" s="2" t="s">
        <v>39</v>
      </c>
      <c r="F28" s="3" t="n">
        <v>5597</v>
      </c>
      <c r="G28" s="4" t="n">
        <v>0.15</v>
      </c>
      <c r="H28" s="5" t="n">
        <f aca="false">F28*G28</f>
        <v>839.55</v>
      </c>
      <c r="I28" s="5" t="n">
        <f aca="false">F28+H28</f>
        <v>6436.55</v>
      </c>
      <c r="J28" s="2" t="n">
        <v>3.1</v>
      </c>
      <c r="K28" s="2" t="s">
        <v>16</v>
      </c>
    </row>
    <row r="29" customFormat="false" ht="15" hidden="false" customHeight="false" outlineLevel="0" collapsed="false">
      <c r="A29" s="6" t="s">
        <v>82</v>
      </c>
      <c r="B29" s="6" t="s">
        <v>83</v>
      </c>
      <c r="C29" s="6" t="s">
        <v>23</v>
      </c>
      <c r="D29" s="6" t="s">
        <v>14</v>
      </c>
      <c r="E29" s="6" t="s">
        <v>84</v>
      </c>
      <c r="F29" s="7" t="n">
        <v>5644</v>
      </c>
      <c r="G29" s="4" t="n">
        <v>0.2</v>
      </c>
      <c r="H29" s="5" t="n">
        <f aca="false">F29*G29</f>
        <v>1128.8</v>
      </c>
      <c r="I29" s="5" t="n">
        <f aca="false">F29+H29</f>
        <v>6772.8</v>
      </c>
      <c r="J29" s="6" t="n">
        <v>3.1</v>
      </c>
      <c r="K29" s="6" t="s">
        <v>16</v>
      </c>
    </row>
    <row r="30" customFormat="false" ht="15" hidden="false" customHeight="false" outlineLevel="0" collapsed="false">
      <c r="A30" s="2" t="s">
        <v>85</v>
      </c>
      <c r="B30" s="2" t="s">
        <v>86</v>
      </c>
      <c r="C30" s="2" t="s">
        <v>33</v>
      </c>
      <c r="D30" s="2" t="s">
        <v>19</v>
      </c>
      <c r="E30" s="2" t="s">
        <v>84</v>
      </c>
      <c r="F30" s="3" t="n">
        <v>9949</v>
      </c>
      <c r="G30" s="4" t="n">
        <v>0.2</v>
      </c>
      <c r="H30" s="5" t="n">
        <f aca="false">F30*G30</f>
        <v>1989.8</v>
      </c>
      <c r="I30" s="5" t="n">
        <f aca="false">F30+H30</f>
        <v>11938.8</v>
      </c>
      <c r="J30" s="2" t="n">
        <v>8.2</v>
      </c>
      <c r="K30" s="2" t="s">
        <v>16</v>
      </c>
    </row>
    <row r="31" customFormat="false" ht="15" hidden="false" customHeight="false" outlineLevel="0" collapsed="false">
      <c r="A31" s="6" t="s">
        <v>87</v>
      </c>
      <c r="B31" s="6" t="s">
        <v>88</v>
      </c>
      <c r="C31" s="6" t="s">
        <v>23</v>
      </c>
      <c r="D31" s="6" t="s">
        <v>34</v>
      </c>
      <c r="E31" s="6" t="s">
        <v>39</v>
      </c>
      <c r="F31" s="7" t="n">
        <v>23916</v>
      </c>
      <c r="G31" s="4" t="n">
        <v>0.15</v>
      </c>
      <c r="H31" s="5" t="n">
        <f aca="false">F31*G31</f>
        <v>3587.4</v>
      </c>
      <c r="I31" s="5" t="n">
        <f aca="false">F31+H31</f>
        <v>27503.4</v>
      </c>
      <c r="J31" s="6" t="n">
        <v>7.1</v>
      </c>
      <c r="K31" s="6" t="s">
        <v>35</v>
      </c>
    </row>
    <row r="32" customFormat="false" ht="15" hidden="false" customHeight="false" outlineLevel="0" collapsed="false">
      <c r="A32" s="2" t="s">
        <v>89</v>
      </c>
      <c r="B32" s="2" t="s">
        <v>90</v>
      </c>
      <c r="C32" s="2" t="s">
        <v>26</v>
      </c>
      <c r="D32" s="2" t="s">
        <v>30</v>
      </c>
      <c r="E32" s="2" t="s">
        <v>42</v>
      </c>
      <c r="F32" s="3" t="n">
        <v>8024</v>
      </c>
      <c r="G32" s="4" t="n">
        <v>0.05</v>
      </c>
      <c r="H32" s="5" t="n">
        <f aca="false">F32*G32</f>
        <v>401.2</v>
      </c>
      <c r="I32" s="5" t="n">
        <f aca="false">F32+H32</f>
        <v>8425.2</v>
      </c>
      <c r="J32" s="2" t="n">
        <v>2.7</v>
      </c>
      <c r="K32" s="2" t="s">
        <v>35</v>
      </c>
    </row>
    <row r="33" customFormat="false" ht="15" hidden="false" customHeight="false" outlineLevel="0" collapsed="false">
      <c r="A33" s="6" t="s">
        <v>91</v>
      </c>
      <c r="B33" s="6" t="s">
        <v>92</v>
      </c>
      <c r="C33" s="6" t="s">
        <v>33</v>
      </c>
      <c r="D33" s="6" t="s">
        <v>38</v>
      </c>
      <c r="E33" s="6" t="s">
        <v>20</v>
      </c>
      <c r="F33" s="7" t="n">
        <v>14438</v>
      </c>
      <c r="G33" s="4" t="n">
        <v>0.1</v>
      </c>
      <c r="H33" s="5" t="n">
        <f aca="false">F33*G33</f>
        <v>1443.8</v>
      </c>
      <c r="I33" s="5" t="n">
        <f aca="false">F33+H33</f>
        <v>15881.8</v>
      </c>
      <c r="J33" s="6" t="n">
        <v>10.4</v>
      </c>
      <c r="K33" s="6" t="s">
        <v>16</v>
      </c>
    </row>
    <row r="34" customFormat="false" ht="15" hidden="false" customHeight="false" outlineLevel="0" collapsed="false">
      <c r="A34" s="2" t="s">
        <v>93</v>
      </c>
      <c r="B34" s="2" t="s">
        <v>94</v>
      </c>
      <c r="C34" s="2" t="s">
        <v>33</v>
      </c>
      <c r="D34" s="2" t="s">
        <v>14</v>
      </c>
      <c r="E34" s="2" t="s">
        <v>84</v>
      </c>
      <c r="F34" s="3" t="n">
        <v>5489</v>
      </c>
      <c r="G34" s="4" t="n">
        <v>0.2</v>
      </c>
      <c r="H34" s="5" t="n">
        <f aca="false">F34*G34</f>
        <v>1097.8</v>
      </c>
      <c r="I34" s="5" t="n">
        <f aca="false">F34+H34</f>
        <v>6586.8</v>
      </c>
      <c r="J34" s="2" t="n">
        <v>9.7</v>
      </c>
      <c r="K34" s="2" t="s">
        <v>16</v>
      </c>
    </row>
    <row r="35" customFormat="false" ht="15" hidden="false" customHeight="false" outlineLevel="0" collapsed="false">
      <c r="A35" s="6" t="s">
        <v>95</v>
      </c>
      <c r="B35" s="6" t="s">
        <v>96</v>
      </c>
      <c r="C35" s="6" t="s">
        <v>33</v>
      </c>
      <c r="D35" s="6" t="s">
        <v>30</v>
      </c>
      <c r="E35" s="6" t="s">
        <v>39</v>
      </c>
      <c r="F35" s="7" t="n">
        <v>7403</v>
      </c>
      <c r="G35" s="4" t="n">
        <v>0.15</v>
      </c>
      <c r="H35" s="5" t="n">
        <f aca="false">F35*G35</f>
        <v>1110.45</v>
      </c>
      <c r="I35" s="5" t="n">
        <f aca="false">F35+H35</f>
        <v>8513.45</v>
      </c>
      <c r="J35" s="6" t="n">
        <v>2.1</v>
      </c>
      <c r="K35" s="6" t="s">
        <v>35</v>
      </c>
    </row>
    <row r="36" customFormat="false" ht="15" hidden="false" customHeight="false" outlineLevel="0" collapsed="false">
      <c r="A36" s="2" t="s">
        <v>97</v>
      </c>
      <c r="B36" s="2" t="s">
        <v>98</v>
      </c>
      <c r="C36" s="2" t="s">
        <v>23</v>
      </c>
      <c r="D36" s="2" t="s">
        <v>19</v>
      </c>
      <c r="E36" s="2" t="s">
        <v>20</v>
      </c>
      <c r="F36" s="3" t="n">
        <v>11823</v>
      </c>
      <c r="G36" s="4" t="n">
        <v>0.1</v>
      </c>
      <c r="H36" s="5" t="n">
        <f aca="false">F36*G36</f>
        <v>1182.3</v>
      </c>
      <c r="I36" s="5" t="n">
        <f aca="false">F36+H36</f>
        <v>13005.3</v>
      </c>
      <c r="J36" s="2" t="n">
        <v>1.4</v>
      </c>
      <c r="K36" s="2" t="s">
        <v>16</v>
      </c>
    </row>
    <row r="37" customFormat="false" ht="15" hidden="false" customHeight="false" outlineLevel="0" collapsed="false">
      <c r="A37" s="6" t="s">
        <v>99</v>
      </c>
      <c r="B37" s="6" t="s">
        <v>100</v>
      </c>
      <c r="C37" s="6" t="s">
        <v>13</v>
      </c>
      <c r="D37" s="6" t="s">
        <v>14</v>
      </c>
      <c r="E37" s="6" t="s">
        <v>84</v>
      </c>
      <c r="F37" s="7" t="n">
        <v>5499</v>
      </c>
      <c r="G37" s="4" t="n">
        <v>0.2</v>
      </c>
      <c r="H37" s="5" t="n">
        <f aca="false">F37*G37</f>
        <v>1099.8</v>
      </c>
      <c r="I37" s="5" t="n">
        <f aca="false">F37+H37</f>
        <v>6598.8</v>
      </c>
      <c r="J37" s="6" t="n">
        <v>10.1</v>
      </c>
      <c r="K37" s="6" t="s">
        <v>75</v>
      </c>
    </row>
    <row r="38" customFormat="false" ht="15" hidden="false" customHeight="false" outlineLevel="0" collapsed="false">
      <c r="A38" s="2" t="s">
        <v>101</v>
      </c>
      <c r="B38" s="2" t="s">
        <v>102</v>
      </c>
      <c r="C38" s="2" t="s">
        <v>33</v>
      </c>
      <c r="D38" s="2" t="s">
        <v>30</v>
      </c>
      <c r="E38" s="2" t="s">
        <v>39</v>
      </c>
      <c r="F38" s="3" t="n">
        <v>7328</v>
      </c>
      <c r="G38" s="4" t="n">
        <v>0.15</v>
      </c>
      <c r="H38" s="5" t="n">
        <f aca="false">F38*G38</f>
        <v>1099.2</v>
      </c>
      <c r="I38" s="5" t="n">
        <f aca="false">F38+H38</f>
        <v>8427.2</v>
      </c>
      <c r="J38" s="2" t="n">
        <v>3</v>
      </c>
      <c r="K38" s="2" t="s">
        <v>75</v>
      </c>
    </row>
    <row r="39" customFormat="false" ht="15" hidden="false" customHeight="false" outlineLevel="0" collapsed="false">
      <c r="A39" s="6" t="s">
        <v>103</v>
      </c>
      <c r="B39" s="6" t="s">
        <v>104</v>
      </c>
      <c r="C39" s="6" t="s">
        <v>26</v>
      </c>
      <c r="D39" s="6" t="s">
        <v>14</v>
      </c>
      <c r="E39" s="6" t="s">
        <v>39</v>
      </c>
      <c r="F39" s="7" t="n">
        <v>4862</v>
      </c>
      <c r="G39" s="4" t="n">
        <v>0.15</v>
      </c>
      <c r="H39" s="5" t="n">
        <f aca="false">F39*G39</f>
        <v>729.3</v>
      </c>
      <c r="I39" s="5" t="n">
        <f aca="false">F39+H39</f>
        <v>5591.3</v>
      </c>
      <c r="J39" s="6" t="n">
        <v>5</v>
      </c>
      <c r="K39" s="6" t="s">
        <v>16</v>
      </c>
    </row>
    <row r="40" customFormat="false" ht="15" hidden="false" customHeight="false" outlineLevel="0" collapsed="false">
      <c r="A40" s="2" t="s">
        <v>105</v>
      </c>
      <c r="B40" s="2" t="s">
        <v>106</v>
      </c>
      <c r="C40" s="2" t="s">
        <v>26</v>
      </c>
      <c r="D40" s="2" t="s">
        <v>19</v>
      </c>
      <c r="E40" s="2" t="s">
        <v>20</v>
      </c>
      <c r="F40" s="3" t="n">
        <v>11787</v>
      </c>
      <c r="G40" s="4" t="n">
        <v>0.1</v>
      </c>
      <c r="H40" s="5" t="n">
        <f aca="false">F40*G40</f>
        <v>1178.7</v>
      </c>
      <c r="I40" s="5" t="n">
        <f aca="false">F40+H40</f>
        <v>12965.7</v>
      </c>
      <c r="J40" s="2" t="n">
        <v>11.9</v>
      </c>
      <c r="K40" s="2" t="s">
        <v>16</v>
      </c>
    </row>
    <row r="41" customFormat="false" ht="15" hidden="false" customHeight="false" outlineLevel="0" collapsed="false">
      <c r="A41" s="6" t="s">
        <v>107</v>
      </c>
      <c r="B41" s="6" t="s">
        <v>108</v>
      </c>
      <c r="C41" s="6" t="s">
        <v>13</v>
      </c>
      <c r="D41" s="6" t="s">
        <v>38</v>
      </c>
      <c r="E41" s="6" t="s">
        <v>39</v>
      </c>
      <c r="F41" s="7" t="n">
        <v>13430</v>
      </c>
      <c r="G41" s="4" t="n">
        <v>0.15</v>
      </c>
      <c r="H41" s="5" t="n">
        <f aca="false">F41*G41</f>
        <v>2014.5</v>
      </c>
      <c r="I41" s="5" t="n">
        <f aca="false">F41+H41</f>
        <v>15444.5</v>
      </c>
      <c r="J41" s="6" t="n">
        <v>11.6</v>
      </c>
      <c r="K41" s="6" t="s">
        <v>16</v>
      </c>
    </row>
    <row r="42" customFormat="false" ht="15" hidden="false" customHeight="false" outlineLevel="0" collapsed="false">
      <c r="A42" s="2" t="s">
        <v>109</v>
      </c>
      <c r="B42" s="2" t="s">
        <v>110</v>
      </c>
      <c r="C42" s="2" t="s">
        <v>13</v>
      </c>
      <c r="D42" s="2" t="s">
        <v>34</v>
      </c>
      <c r="E42" s="2" t="s">
        <v>84</v>
      </c>
      <c r="F42" s="3" t="n">
        <v>19254</v>
      </c>
      <c r="G42" s="4" t="n">
        <v>0.2</v>
      </c>
      <c r="H42" s="5" t="n">
        <f aca="false">F42*G42</f>
        <v>3850.8</v>
      </c>
      <c r="I42" s="5" t="n">
        <f aca="false">F42+H42</f>
        <v>23104.8</v>
      </c>
      <c r="J42" s="2" t="n">
        <v>1.1</v>
      </c>
      <c r="K42" s="2" t="s">
        <v>16</v>
      </c>
    </row>
    <row r="43" customFormat="false" ht="15" hidden="false" customHeight="false" outlineLevel="0" collapsed="false">
      <c r="A43" s="6" t="s">
        <v>111</v>
      </c>
      <c r="B43" s="6" t="s">
        <v>112</v>
      </c>
      <c r="C43" s="6" t="s">
        <v>26</v>
      </c>
      <c r="D43" s="6" t="s">
        <v>34</v>
      </c>
      <c r="E43" s="6" t="s">
        <v>42</v>
      </c>
      <c r="F43" s="7" t="n">
        <v>21734</v>
      </c>
      <c r="G43" s="4" t="n">
        <v>0.05</v>
      </c>
      <c r="H43" s="5" t="n">
        <f aca="false">F43*G43</f>
        <v>1086.7</v>
      </c>
      <c r="I43" s="5" t="n">
        <f aca="false">F43+H43</f>
        <v>22820.7</v>
      </c>
      <c r="J43" s="6" t="n">
        <v>1.2</v>
      </c>
      <c r="K43" s="6" t="s">
        <v>16</v>
      </c>
    </row>
    <row r="44" customFormat="false" ht="15" hidden="false" customHeight="false" outlineLevel="0" collapsed="false">
      <c r="A44" s="2" t="s">
        <v>113</v>
      </c>
      <c r="B44" s="2" t="s">
        <v>114</v>
      </c>
      <c r="C44" s="2" t="s">
        <v>13</v>
      </c>
      <c r="D44" s="2" t="s">
        <v>14</v>
      </c>
      <c r="E44" s="2" t="s">
        <v>42</v>
      </c>
      <c r="F44" s="3" t="n">
        <v>4568</v>
      </c>
      <c r="G44" s="4" t="n">
        <v>0.05</v>
      </c>
      <c r="H44" s="5" t="n">
        <f aca="false">F44*G44</f>
        <v>228.4</v>
      </c>
      <c r="I44" s="5" t="n">
        <f aca="false">F44+H44</f>
        <v>4796.4</v>
      </c>
      <c r="J44" s="2" t="n">
        <v>1.3</v>
      </c>
      <c r="K44" s="2" t="s">
        <v>16</v>
      </c>
    </row>
    <row r="45" customFormat="false" ht="15" hidden="false" customHeight="false" outlineLevel="0" collapsed="false">
      <c r="A45" s="6" t="s">
        <v>115</v>
      </c>
      <c r="B45" s="6" t="s">
        <v>116</v>
      </c>
      <c r="C45" s="6" t="s">
        <v>23</v>
      </c>
      <c r="D45" s="6" t="s">
        <v>38</v>
      </c>
      <c r="E45" s="6" t="s">
        <v>39</v>
      </c>
      <c r="F45" s="7" t="n">
        <v>16602</v>
      </c>
      <c r="G45" s="4" t="n">
        <v>0.15</v>
      </c>
      <c r="H45" s="5" t="n">
        <f aca="false">F45*G45</f>
        <v>2490.3</v>
      </c>
      <c r="I45" s="5" t="n">
        <f aca="false">F45+H45</f>
        <v>19092.3</v>
      </c>
      <c r="J45" s="6" t="n">
        <v>3.3</v>
      </c>
      <c r="K45" s="6" t="s">
        <v>16</v>
      </c>
    </row>
    <row r="46" customFormat="false" ht="15" hidden="false" customHeight="false" outlineLevel="0" collapsed="false">
      <c r="A46" s="2" t="s">
        <v>117</v>
      </c>
      <c r="B46" s="2" t="s">
        <v>118</v>
      </c>
      <c r="C46" s="2" t="s">
        <v>13</v>
      </c>
      <c r="D46" s="2" t="s">
        <v>14</v>
      </c>
      <c r="E46" s="2" t="s">
        <v>20</v>
      </c>
      <c r="F46" s="3" t="n">
        <v>4919</v>
      </c>
      <c r="G46" s="4" t="n">
        <v>0.1</v>
      </c>
      <c r="H46" s="5" t="n">
        <f aca="false">F46*G46</f>
        <v>491.9</v>
      </c>
      <c r="I46" s="5" t="n">
        <f aca="false">F46+H46</f>
        <v>5410.9</v>
      </c>
      <c r="J46" s="2" t="n">
        <v>7.2</v>
      </c>
      <c r="K46" s="2" t="s">
        <v>16</v>
      </c>
    </row>
    <row r="47" customFormat="false" ht="15" hidden="false" customHeight="false" outlineLevel="0" collapsed="false">
      <c r="A47" s="6" t="s">
        <v>119</v>
      </c>
      <c r="B47" s="6" t="s">
        <v>120</v>
      </c>
      <c r="C47" s="6" t="s">
        <v>13</v>
      </c>
      <c r="D47" s="6" t="s">
        <v>19</v>
      </c>
      <c r="E47" s="6" t="s">
        <v>42</v>
      </c>
      <c r="F47" s="7" t="n">
        <v>9408</v>
      </c>
      <c r="G47" s="4" t="n">
        <v>0.05</v>
      </c>
      <c r="H47" s="5" t="n">
        <f aca="false">F47*G47</f>
        <v>470.4</v>
      </c>
      <c r="I47" s="5" t="n">
        <f aca="false">F47+H47</f>
        <v>9878.4</v>
      </c>
      <c r="J47" s="6" t="n">
        <v>8.7</v>
      </c>
      <c r="K47" s="6" t="s">
        <v>16</v>
      </c>
    </row>
    <row r="48" customFormat="false" ht="15" hidden="false" customHeight="false" outlineLevel="0" collapsed="false">
      <c r="A48" s="2" t="s">
        <v>121</v>
      </c>
      <c r="B48" s="2" t="s">
        <v>122</v>
      </c>
      <c r="C48" s="2" t="s">
        <v>23</v>
      </c>
      <c r="D48" s="2" t="s">
        <v>19</v>
      </c>
      <c r="E48" s="2" t="s">
        <v>20</v>
      </c>
      <c r="F48" s="3" t="n">
        <v>11377</v>
      </c>
      <c r="G48" s="4" t="n">
        <v>0.1</v>
      </c>
      <c r="H48" s="5" t="n">
        <f aca="false">F48*G48</f>
        <v>1137.7</v>
      </c>
      <c r="I48" s="5" t="n">
        <f aca="false">F48+H48</f>
        <v>12514.7</v>
      </c>
      <c r="J48" s="2" t="n">
        <v>3.9</v>
      </c>
      <c r="K48" s="2" t="s">
        <v>16</v>
      </c>
    </row>
    <row r="49" customFormat="false" ht="15" hidden="false" customHeight="false" outlineLevel="0" collapsed="false">
      <c r="A49" s="6" t="s">
        <v>123</v>
      </c>
      <c r="B49" s="6" t="s">
        <v>124</v>
      </c>
      <c r="C49" s="6" t="s">
        <v>29</v>
      </c>
      <c r="D49" s="6" t="s">
        <v>14</v>
      </c>
      <c r="E49" s="6" t="s">
        <v>84</v>
      </c>
      <c r="F49" s="7" t="n">
        <v>4865</v>
      </c>
      <c r="G49" s="4" t="n">
        <v>0.2</v>
      </c>
      <c r="H49" s="5" t="n">
        <f aca="false">F49*G49</f>
        <v>973</v>
      </c>
      <c r="I49" s="5" t="n">
        <f aca="false">F49+H49</f>
        <v>5838</v>
      </c>
      <c r="J49" s="6" t="n">
        <v>7</v>
      </c>
      <c r="K49" s="6" t="s">
        <v>16</v>
      </c>
    </row>
    <row r="50" customFormat="false" ht="15" hidden="false" customHeight="false" outlineLevel="0" collapsed="false">
      <c r="A50" s="2" t="s">
        <v>125</v>
      </c>
      <c r="B50" s="2" t="s">
        <v>126</v>
      </c>
      <c r="C50" s="2" t="s">
        <v>33</v>
      </c>
      <c r="D50" s="2" t="s">
        <v>14</v>
      </c>
      <c r="E50" s="2" t="s">
        <v>20</v>
      </c>
      <c r="F50" s="3" t="n">
        <v>5256</v>
      </c>
      <c r="G50" s="4" t="n">
        <v>0.1</v>
      </c>
      <c r="H50" s="5" t="n">
        <f aca="false">F50*G50</f>
        <v>525.6</v>
      </c>
      <c r="I50" s="5" t="n">
        <f aca="false">F50+H50</f>
        <v>5781.6</v>
      </c>
      <c r="J50" s="2" t="n">
        <v>2</v>
      </c>
      <c r="K50" s="2" t="s">
        <v>16</v>
      </c>
    </row>
    <row r="51" customFormat="false" ht="15" hidden="false" customHeight="false" outlineLevel="0" collapsed="false">
      <c r="A51" s="6" t="s">
        <v>127</v>
      </c>
      <c r="B51" s="6" t="s">
        <v>128</v>
      </c>
      <c r="C51" s="6" t="s">
        <v>29</v>
      </c>
      <c r="D51" s="6" t="s">
        <v>14</v>
      </c>
      <c r="E51" s="6" t="s">
        <v>42</v>
      </c>
      <c r="F51" s="7" t="n">
        <v>4626</v>
      </c>
      <c r="G51" s="4" t="n">
        <v>0.05</v>
      </c>
      <c r="H51" s="5" t="n">
        <f aca="false">F51*G51</f>
        <v>231.3</v>
      </c>
      <c r="I51" s="5" t="n">
        <f aca="false">F51+H51</f>
        <v>4857.3</v>
      </c>
      <c r="J51" s="6" t="n">
        <v>2.3</v>
      </c>
      <c r="K51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5" min="4" style="0" width="2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31.5" hidden="false" customHeight="true" outlineLevel="0" collapsed="false">
      <c r="A1" s="8" t="s">
        <v>129</v>
      </c>
      <c r="B1" s="8"/>
      <c r="C1" s="8"/>
      <c r="D1" s="8"/>
      <c r="E1" s="8"/>
      <c r="F1" s="8"/>
      <c r="G1" s="8"/>
      <c r="H1" s="8"/>
    </row>
    <row r="2" customFormat="false" ht="15" hidden="false" customHeight="false" outlineLevel="0" collapsed="false">
      <c r="A2" s="9" t="s">
        <v>130</v>
      </c>
      <c r="B2" s="9"/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A4" s="10" t="s">
        <v>131</v>
      </c>
      <c r="B4" s="10"/>
      <c r="C4" s="10"/>
      <c r="D4" s="10"/>
    </row>
    <row r="5" customFormat="false" ht="15" hidden="false" customHeight="false" outlineLevel="0" collapsed="false">
      <c r="A5" s="11" t="s">
        <v>132</v>
      </c>
      <c r="B5" s="11" t="s">
        <v>133</v>
      </c>
      <c r="C5" s="11" t="s">
        <v>134</v>
      </c>
      <c r="D5" s="11" t="s">
        <v>135</v>
      </c>
    </row>
    <row r="6" customFormat="false" ht="15" hidden="false" customHeight="false" outlineLevel="0" collapsed="false">
      <c r="A6" s="12" t="s">
        <v>84</v>
      </c>
      <c r="B6" s="12" t="n">
        <f aca="false">COUNTIF('Employee Data'!E$2:E$51,A6)</f>
        <v>6</v>
      </c>
      <c r="C6" s="13" t="n">
        <f aca="false">B6/SUM(B$6:B$10)</f>
        <v>0.12</v>
      </c>
      <c r="D6" s="14" t="n">
        <f aca="false">IFERROR(AVERAGEIF('Employee Data'!E$2:E$51,A6,'Employee Data'!F$2:F$51),0)</f>
        <v>8450</v>
      </c>
    </row>
    <row r="7" customFormat="false" ht="15" hidden="false" customHeight="false" outlineLevel="0" collapsed="false">
      <c r="A7" s="15" t="s">
        <v>39</v>
      </c>
      <c r="B7" s="15" t="n">
        <f aca="false">COUNTIF('Employee Data'!E$2:E$51,A7)</f>
        <v>12</v>
      </c>
      <c r="C7" s="16" t="n">
        <f aca="false">B7/SUM(B$6:B$10)</f>
        <v>0.24</v>
      </c>
      <c r="D7" s="17" t="n">
        <f aca="false">IFERROR(AVERAGEIF('Employee Data'!E$2:E$51,A7,'Employee Data'!F$2:F$51),0)</f>
        <v>11571.8333333333</v>
      </c>
    </row>
    <row r="8" customFormat="false" ht="15" hidden="false" customHeight="false" outlineLevel="0" collapsed="false">
      <c r="A8" s="12" t="s">
        <v>20</v>
      </c>
      <c r="B8" s="12" t="n">
        <f aca="false">COUNTIF('Employee Data'!E$2:E$51,A8)</f>
        <v>16</v>
      </c>
      <c r="C8" s="13" t="n">
        <f aca="false">B8/SUM(B$6:B$10)</f>
        <v>0.32</v>
      </c>
      <c r="D8" s="14" t="n">
        <f aca="false">IFERROR(AVERAGEIF('Employee Data'!E$2:E$51,A8,'Employee Data'!F$2:F$51),0)</f>
        <v>12214.125</v>
      </c>
    </row>
    <row r="9" customFormat="false" ht="15" hidden="false" customHeight="false" outlineLevel="0" collapsed="false">
      <c r="A9" s="15" t="s">
        <v>42</v>
      </c>
      <c r="B9" s="15" t="n">
        <f aca="false">COUNTIF('Employee Data'!E$2:E$51,A9)</f>
        <v>12</v>
      </c>
      <c r="C9" s="16" t="n">
        <f aca="false">B9/SUM(B$6:B$10)</f>
        <v>0.24</v>
      </c>
      <c r="D9" s="17" t="n">
        <f aca="false">IFERROR(AVERAGEIF('Employee Data'!E$2:E$51,A9,'Employee Data'!F$2:F$51),0)</f>
        <v>12417.4166666667</v>
      </c>
    </row>
    <row r="10" customFormat="false" ht="15" hidden="false" customHeight="false" outlineLevel="0" collapsed="false">
      <c r="A10" s="12" t="s">
        <v>15</v>
      </c>
      <c r="B10" s="12" t="n">
        <f aca="false">COUNTIF('Employee Data'!E$2:E$51,A10)</f>
        <v>4</v>
      </c>
      <c r="C10" s="13" t="n">
        <f aca="false">B10/SUM(B$6:B$10)</f>
        <v>0.08</v>
      </c>
      <c r="D10" s="14" t="n">
        <f aca="false">IFERROR(AVERAGEIF('Employee Data'!E$2:E$51,A10,'Employee Data'!F$2:F$51),0)</f>
        <v>10954.75</v>
      </c>
    </row>
    <row r="11" customFormat="false" ht="15" hidden="false" customHeight="false" outlineLevel="0" collapsed="false">
      <c r="A11" s="18" t="s">
        <v>136</v>
      </c>
      <c r="B11" s="18" t="n">
        <f aca="false">SUM(B6:B10)</f>
        <v>50</v>
      </c>
      <c r="C11" s="19" t="n">
        <f aca="false">SUM(C6:C10)</f>
        <v>1</v>
      </c>
      <c r="D11" s="20"/>
    </row>
    <row r="13" customFormat="false" ht="15" hidden="false" customHeight="false" outlineLevel="0" collapsed="false">
      <c r="A13" s="10" t="s">
        <v>137</v>
      </c>
      <c r="B13" s="10"/>
      <c r="C13" s="10"/>
      <c r="D13" s="10"/>
      <c r="E13" s="10"/>
      <c r="F13" s="10"/>
      <c r="G13" s="10"/>
      <c r="H13" s="10"/>
    </row>
    <row r="14" customFormat="false" ht="27.75" hidden="false" customHeight="true" outlineLevel="0" collapsed="false">
      <c r="A14" s="21" t="s">
        <v>2</v>
      </c>
      <c r="B14" s="21" t="s">
        <v>138</v>
      </c>
      <c r="C14" s="21" t="s">
        <v>16</v>
      </c>
      <c r="D14" s="21" t="s">
        <v>139</v>
      </c>
      <c r="E14" s="21" t="s">
        <v>140</v>
      </c>
      <c r="F14" s="21" t="s">
        <v>141</v>
      </c>
      <c r="G14" s="21" t="s">
        <v>142</v>
      </c>
      <c r="H14" s="21" t="s">
        <v>143</v>
      </c>
    </row>
    <row r="15" customFormat="false" ht="15" hidden="false" customHeight="false" outlineLevel="0" collapsed="false">
      <c r="A15" s="12" t="s">
        <v>33</v>
      </c>
      <c r="B15" s="12" t="n">
        <f aca="false">COUNTIF('Employee Data'!C$2:C$51,A15)</f>
        <v>11</v>
      </c>
      <c r="C15" s="12" t="n">
        <f aca="false">COUNTIFS('Employee Data'!C$2:C$51,A15,'Employee Data'!K$2:K$51,"Active")</f>
        <v>7</v>
      </c>
      <c r="D15" s="14" t="n">
        <f aca="false">IFERROR(AVERAGEIF('Employee Data'!C$2:C$51,A15,'Employee Data'!F$2:F$51),0)</f>
        <v>9553.18181818182</v>
      </c>
      <c r="E15" s="14" t="n">
        <f aca="false">IFERROR(AVERAGEIF('Employee Data'!C$2:C$51,A15,'Employee Data'!I$2:I$51),0)</f>
        <v>10628.5181818182</v>
      </c>
      <c r="F15" s="13" t="n">
        <f aca="false">IFERROR(AVERAGEIF('Employee Data'!C$2:C$51,A15,'Employee Data'!G$2:G$51),0)</f>
        <v>0.118181818181818</v>
      </c>
      <c r="G15" s="22" t="n">
        <f aca="false">IFERROR(AVERAGEIF('Employee Data'!C$2:C$51,A15,'Employee Data'!J$2:J$51),0)</f>
        <v>5.34545454545455</v>
      </c>
      <c r="H15" s="13" t="n">
        <f aca="false">IFERROR((B15-C15)/B15,0)</f>
        <v>0.363636363636364</v>
      </c>
    </row>
    <row r="16" customFormat="false" ht="15" hidden="false" customHeight="false" outlineLevel="0" collapsed="false">
      <c r="A16" s="15" t="s">
        <v>23</v>
      </c>
      <c r="B16" s="15" t="n">
        <f aca="false">COUNTIF('Employee Data'!C$2:C$51,A16)</f>
        <v>11</v>
      </c>
      <c r="C16" s="15" t="n">
        <f aca="false">COUNTIFS('Employee Data'!C$2:C$51,A16,'Employee Data'!K$2:K$51,"Active")</f>
        <v>10</v>
      </c>
      <c r="D16" s="17" t="n">
        <f aca="false">IFERROR(AVERAGEIF('Employee Data'!C$2:C$51,A16,'Employee Data'!F$2:F$51),0)</f>
        <v>13807.9090909091</v>
      </c>
      <c r="E16" s="17" t="n">
        <f aca="false">IFERROR(AVERAGEIF('Employee Data'!C$2:C$51,A16,'Employee Data'!I$2:I$51),0)</f>
        <v>15151.5136363636</v>
      </c>
      <c r="F16" s="16" t="n">
        <f aca="false">IFERROR(AVERAGEIF('Employee Data'!C$2:C$51,A16,'Employee Data'!G$2:G$51),0)</f>
        <v>0.1</v>
      </c>
      <c r="G16" s="23" t="n">
        <f aca="false">IFERROR(AVERAGEIF('Employee Data'!C$2:C$51,A16,'Employee Data'!J$2:J$51),0)</f>
        <v>5.07272727272727</v>
      </c>
      <c r="H16" s="16" t="n">
        <f aca="false">IFERROR((B16-C16)/B16,0)</f>
        <v>0.0909090909090909</v>
      </c>
    </row>
    <row r="17" customFormat="false" ht="15" hidden="false" customHeight="false" outlineLevel="0" collapsed="false">
      <c r="A17" s="12" t="s">
        <v>29</v>
      </c>
      <c r="B17" s="12" t="n">
        <f aca="false">COUNTIF('Employee Data'!C$2:C$51,A17)</f>
        <v>7</v>
      </c>
      <c r="C17" s="12" t="n">
        <f aca="false">COUNTIFS('Employee Data'!C$2:C$51,A17,'Employee Data'!K$2:K$51,"Active")</f>
        <v>7</v>
      </c>
      <c r="D17" s="14" t="n">
        <f aca="false">IFERROR(AVERAGEIF('Employee Data'!C$2:C$51,A17,'Employee Data'!F$2:F$51),0)</f>
        <v>10980</v>
      </c>
      <c r="E17" s="14" t="n">
        <f aca="false">IFERROR(AVERAGEIF('Employee Data'!C$2:C$51,A17,'Employee Data'!I$2:I$51),0)</f>
        <v>12010.1428571429</v>
      </c>
      <c r="F17" s="13" t="n">
        <f aca="false">IFERROR(AVERAGEIF('Employee Data'!C$2:C$51,A17,'Employee Data'!G$2:G$51),0)</f>
        <v>0.107142857142857</v>
      </c>
      <c r="G17" s="22" t="n">
        <f aca="false">IFERROR(AVERAGEIF('Employee Data'!C$2:C$51,A17,'Employee Data'!J$2:J$51),0)</f>
        <v>4.84285714285714</v>
      </c>
      <c r="H17" s="13" t="n">
        <f aca="false">IFERROR((B17-C17)/B17,0)</f>
        <v>0</v>
      </c>
    </row>
    <row r="18" customFormat="false" ht="15" hidden="false" customHeight="false" outlineLevel="0" collapsed="false">
      <c r="A18" s="15" t="s">
        <v>26</v>
      </c>
      <c r="B18" s="15" t="n">
        <f aca="false">COUNTIF('Employee Data'!C$2:C$51,A18)</f>
        <v>11</v>
      </c>
      <c r="C18" s="15" t="n">
        <f aca="false">COUNTIFS('Employee Data'!C$2:C$51,A18,'Employee Data'!K$2:K$51,"Active")</f>
        <v>9</v>
      </c>
      <c r="D18" s="17" t="n">
        <f aca="false">IFERROR(AVERAGEIF('Employee Data'!C$2:C$51,A18,'Employee Data'!F$2:F$51),0)</f>
        <v>12838.7272727273</v>
      </c>
      <c r="E18" s="17" t="n">
        <f aca="false">IFERROR(AVERAGEIF('Employee Data'!C$2:C$51,A18,'Employee Data'!I$2:I$51),0)</f>
        <v>13968.4409090909</v>
      </c>
      <c r="F18" s="16" t="n">
        <f aca="false">IFERROR(AVERAGEIF('Employee Data'!C$2:C$51,A18,'Employee Data'!G$2:G$51),0)</f>
        <v>0.0909090909090909</v>
      </c>
      <c r="G18" s="23" t="n">
        <f aca="false">IFERROR(AVERAGEIF('Employee Data'!C$2:C$51,A18,'Employee Data'!J$2:J$51),0)</f>
        <v>5.6</v>
      </c>
      <c r="H18" s="16" t="n">
        <f aca="false">IFERROR((B18-C18)/B18,0)</f>
        <v>0.181818181818182</v>
      </c>
    </row>
    <row r="19" customFormat="false" ht="15" hidden="false" customHeight="false" outlineLevel="0" collapsed="false">
      <c r="A19" s="12" t="s">
        <v>13</v>
      </c>
      <c r="B19" s="12" t="n">
        <f aca="false">COUNTIF('Employee Data'!C$2:C$51,A19)</f>
        <v>10</v>
      </c>
      <c r="C19" s="12" t="n">
        <f aca="false">COUNTIFS('Employee Data'!C$2:C$51,A19,'Employee Data'!K$2:K$51,"Active")</f>
        <v>9</v>
      </c>
      <c r="D19" s="14" t="n">
        <f aca="false">IFERROR(AVERAGEIF('Employee Data'!C$2:C$51,A19,'Employee Data'!F$2:F$51),0)</f>
        <v>10275.8</v>
      </c>
      <c r="E19" s="14" t="n">
        <f aca="false">IFERROR(AVERAGEIF('Employee Data'!C$2:C$51,A19,'Employee Data'!I$2:I$51),0)</f>
        <v>11447.415</v>
      </c>
      <c r="F19" s="13" t="n">
        <f aca="false">IFERROR(AVERAGEIF('Employee Data'!C$2:C$51,A19,'Employee Data'!G$2:G$51),0)</f>
        <v>0.105</v>
      </c>
      <c r="G19" s="22" t="n">
        <f aca="false">IFERROR(AVERAGEIF('Employee Data'!C$2:C$51,A19,'Employee Data'!J$2:J$51),0)</f>
        <v>6.46</v>
      </c>
      <c r="H19" s="13" t="n">
        <f aca="false">IFERROR((B19-C19)/B19,0)</f>
        <v>0.1</v>
      </c>
    </row>
    <row r="21" customFormat="false" ht="15" hidden="false" customHeight="false" outlineLevel="0" collapsed="false">
      <c r="A21" s="10" t="s">
        <v>144</v>
      </c>
      <c r="B21" s="10"/>
      <c r="C21" s="10"/>
      <c r="D21" s="10"/>
      <c r="E21" s="10"/>
      <c r="F21" s="10"/>
    </row>
    <row r="22" customFormat="false" ht="15" hidden="false" customHeight="false" outlineLevel="0" collapsed="false">
      <c r="A22" s="11" t="s">
        <v>145</v>
      </c>
      <c r="B22" s="11" t="s">
        <v>138</v>
      </c>
      <c r="C22" s="11" t="s">
        <v>146</v>
      </c>
      <c r="D22" s="11" t="s">
        <v>147</v>
      </c>
      <c r="E22" s="11" t="s">
        <v>148</v>
      </c>
      <c r="F22" s="11" t="s">
        <v>149</v>
      </c>
    </row>
    <row r="23" customFormat="false" ht="15" hidden="false" customHeight="false" outlineLevel="0" collapsed="false">
      <c r="A23" s="12" t="s">
        <v>14</v>
      </c>
      <c r="B23" s="12" t="n">
        <f aca="false">COUNTIF('Employee Data'!D$2:D$51,A23)</f>
        <v>14</v>
      </c>
      <c r="C23" s="14" t="n">
        <f aca="false">IFERROR(minifs('Employee Data'!F$2:F$51,'Employee Data'!D$2:D$51,A23),0)</f>
        <v>0</v>
      </c>
      <c r="D23" s="14" t="n">
        <f aca="false">IFERROR(maxifs('Employee Data'!F$2:F$51,'Employee Data'!D$2:D$51,A23),0)</f>
        <v>0</v>
      </c>
      <c r="E23" s="14" t="n">
        <f aca="false">IFERROR(AVERAGEIF('Employee Data'!D$2:D$51,A23,'Employee Data'!F$2:F$51),0)</f>
        <v>5096.5</v>
      </c>
      <c r="F23" s="14" t="n">
        <f aca="false">IFERROR(D23-C23,0)</f>
        <v>0</v>
      </c>
    </row>
    <row r="24" customFormat="false" ht="15" hidden="false" customHeight="false" outlineLevel="0" collapsed="false">
      <c r="A24" s="15" t="s">
        <v>30</v>
      </c>
      <c r="B24" s="15" t="n">
        <f aca="false">COUNTIF('Employee Data'!D$2:D$51,A24)</f>
        <v>7</v>
      </c>
      <c r="C24" s="17" t="n">
        <f aca="false">IFERROR(minifs('Employee Data'!F$2:F$51,'Employee Data'!D$2:D$51,A24),0)</f>
        <v>0</v>
      </c>
      <c r="D24" s="17" t="n">
        <f aca="false">IFERROR(maxifs('Employee Data'!F$2:F$51,'Employee Data'!D$2:D$51,A24),0)</f>
        <v>0</v>
      </c>
      <c r="E24" s="17" t="n">
        <f aca="false">IFERROR(AVERAGEIF('Employee Data'!D$2:D$51,A24,'Employee Data'!F$2:F$51),0)</f>
        <v>7490.85714285714</v>
      </c>
      <c r="F24" s="17" t="n">
        <f aca="false">IFERROR(D24-C24,0)</f>
        <v>0</v>
      </c>
    </row>
    <row r="25" customFormat="false" ht="15" hidden="false" customHeight="false" outlineLevel="0" collapsed="false">
      <c r="A25" s="12" t="s">
        <v>19</v>
      </c>
      <c r="B25" s="12" t="n">
        <f aca="false">COUNTIF('Employee Data'!D$2:D$51,A25)</f>
        <v>13</v>
      </c>
      <c r="C25" s="14" t="n">
        <f aca="false">IFERROR(minifs('Employee Data'!F$2:F$51,'Employee Data'!D$2:D$51,A25),0)</f>
        <v>0</v>
      </c>
      <c r="D25" s="14" t="n">
        <f aca="false">IFERROR(maxifs('Employee Data'!F$2:F$51,'Employee Data'!D$2:D$51,A25),0)</f>
        <v>0</v>
      </c>
      <c r="E25" s="14" t="n">
        <f aca="false">IFERROR(AVERAGEIF('Employee Data'!D$2:D$51,A25,'Employee Data'!F$2:F$51),0)</f>
        <v>10867.7692307692</v>
      </c>
      <c r="F25" s="14" t="n">
        <f aca="false">IFERROR(D25-C25,0)</f>
        <v>0</v>
      </c>
    </row>
    <row r="26" customFormat="false" ht="15" hidden="false" customHeight="false" outlineLevel="0" collapsed="false">
      <c r="A26" s="15" t="s">
        <v>38</v>
      </c>
      <c r="B26" s="15" t="n">
        <f aca="false">COUNTIF('Employee Data'!D$2:D$51,A26)</f>
        <v>4</v>
      </c>
      <c r="C26" s="17" t="n">
        <f aca="false">IFERROR(minifs('Employee Data'!F$2:F$51,'Employee Data'!D$2:D$51,A26),0)</f>
        <v>0</v>
      </c>
      <c r="D26" s="17" t="n">
        <f aca="false">IFERROR(maxifs('Employee Data'!F$2:F$51,'Employee Data'!D$2:D$51,A26),0)</f>
        <v>0</v>
      </c>
      <c r="E26" s="17" t="n">
        <f aca="false">IFERROR(AVERAGEIF('Employee Data'!D$2:D$51,A26,'Employee Data'!F$2:F$51),0)</f>
        <v>15219</v>
      </c>
      <c r="F26" s="17" t="n">
        <f aca="false">IFERROR(D26-C26,0)</f>
        <v>0</v>
      </c>
    </row>
    <row r="27" customFormat="false" ht="15" hidden="false" customHeight="false" outlineLevel="0" collapsed="false">
      <c r="A27" s="12" t="s">
        <v>34</v>
      </c>
      <c r="B27" s="12" t="n">
        <f aca="false">COUNTIF('Employee Data'!D$2:D$51,A27)</f>
        <v>12</v>
      </c>
      <c r="C27" s="14" t="n">
        <f aca="false">IFERROR(minifs('Employee Data'!F$2:F$51,'Employee Data'!D$2:D$51,A27),0)</f>
        <v>0</v>
      </c>
      <c r="D27" s="14" t="n">
        <f aca="false">IFERROR(maxifs('Employee Data'!F$2:F$51,'Employee Data'!D$2:D$51,A27),0)</f>
        <v>0</v>
      </c>
      <c r="E27" s="14" t="n">
        <f aca="false">IFERROR(AVERAGEIF('Employee Data'!D$2:D$51,A27,'Employee Data'!F$2:F$51),0)</f>
        <v>20989.3333333333</v>
      </c>
      <c r="F27" s="14" t="n">
        <f aca="false">IFERROR(D27-C27,0)</f>
        <v>0</v>
      </c>
    </row>
    <row r="29" customFormat="false" ht="15" hidden="false" customHeight="false" outlineLevel="0" collapsed="false">
      <c r="A29" s="10" t="s">
        <v>150</v>
      </c>
      <c r="B29" s="10"/>
      <c r="C29" s="10"/>
      <c r="D29" s="10"/>
    </row>
    <row r="30" customFormat="false" ht="15" hidden="false" customHeight="false" outlineLevel="0" collapsed="false">
      <c r="A30" s="24" t="s">
        <v>151</v>
      </c>
      <c r="B30" s="25" t="n">
        <f aca="false">COUNTA('Employee Data'!A2:A51)</f>
        <v>50</v>
      </c>
    </row>
    <row r="31" customFormat="false" ht="15" hidden="false" customHeight="false" outlineLevel="0" collapsed="false">
      <c r="A31" s="24" t="s">
        <v>152</v>
      </c>
      <c r="B31" s="25" t="n">
        <f aca="false">COUNTIF('Employee Data'!K2:K51,"Active")</f>
        <v>42</v>
      </c>
    </row>
    <row r="32" customFormat="false" ht="15" hidden="false" customHeight="false" outlineLevel="0" collapsed="false">
      <c r="A32" s="24" t="s">
        <v>153</v>
      </c>
      <c r="B32" s="26" t="n">
        <f aca="false">IFERROR(COUNTIF('Employee Data'!K2:K51,"Resigned")/COUNTA('Employee Data'!A2:A51),0)</f>
        <v>0.1</v>
      </c>
    </row>
    <row r="33" customFormat="false" ht="15" hidden="false" customHeight="false" outlineLevel="0" collapsed="false">
      <c r="A33" s="24" t="s">
        <v>135</v>
      </c>
      <c r="B33" s="27" t="n">
        <f aca="false">IFERROR(AVERAGE('Employee Data'!F2:F51),0)</f>
        <v>11556.32</v>
      </c>
    </row>
    <row r="34" customFormat="false" ht="15" hidden="false" customHeight="false" outlineLevel="0" collapsed="false">
      <c r="A34" s="24" t="s">
        <v>154</v>
      </c>
      <c r="B34" s="27" t="n">
        <f aca="false">IFERROR(AVERAGE('Employee Data'!I2:I51),0)</f>
        <v>12715.567</v>
      </c>
    </row>
    <row r="35" customFormat="false" ht="15" hidden="false" customHeight="false" outlineLevel="0" collapsed="false">
      <c r="A35" s="24" t="s">
        <v>155</v>
      </c>
      <c r="B35" s="27" t="n">
        <f aca="false">IFERROR(SUM('Employee Data'!I2:I51),0)</f>
        <v>635778.35</v>
      </c>
    </row>
    <row r="36" customFormat="false" ht="15" hidden="false" customHeight="false" outlineLevel="0" collapsed="false">
      <c r="A36" s="24" t="s">
        <v>156</v>
      </c>
      <c r="B36" s="26" t="n">
        <f aca="false">IFERROR((COUNTIF('Employee Data'!E2:E51,"Outstanding")+COUNTIF('Employee Data'!E2:E51,"Exceeds"))/COUNTA('Employee Data'!A2:A51),0)</f>
        <v>0.36</v>
      </c>
    </row>
    <row r="37" customFormat="false" ht="15" hidden="false" customHeight="false" outlineLevel="0" collapsed="false">
      <c r="A37" s="24" t="s">
        <v>157</v>
      </c>
      <c r="B37" s="28" t="n">
        <f aca="false">IFERROR(AVERAGE('Employee Data'!J2:J51),0)</f>
        <v>5.494</v>
      </c>
    </row>
  </sheetData>
  <mergeCells count="6">
    <mergeCell ref="A1:H1"/>
    <mergeCell ref="A2:H2"/>
    <mergeCell ref="A4:D4"/>
    <mergeCell ref="A13:H13"/>
    <mergeCell ref="A21:F21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12"/>
    <col collapsed="false" customWidth="true" hidden="false" outlineLevel="0" max="5" min="5" style="0" width="45"/>
  </cols>
  <sheetData>
    <row r="1" customFormat="false" ht="30" hidden="false" customHeight="true" outlineLevel="0" collapsed="false">
      <c r="A1" s="29" t="s">
        <v>158</v>
      </c>
      <c r="B1" s="29"/>
      <c r="C1" s="29"/>
      <c r="D1" s="29"/>
      <c r="E1" s="29"/>
    </row>
    <row r="2" customFormat="false" ht="15" hidden="false" customHeight="false" outlineLevel="0" collapsed="false">
      <c r="A2" s="30" t="s">
        <v>159</v>
      </c>
      <c r="B2" s="30"/>
      <c r="C2" s="30"/>
      <c r="D2" s="30"/>
      <c r="E2" s="30"/>
    </row>
    <row r="4" customFormat="false" ht="15" hidden="false" customHeight="false" outlineLevel="0" collapsed="false">
      <c r="A4" s="1" t="s">
        <v>160</v>
      </c>
      <c r="B4" s="1" t="s">
        <v>161</v>
      </c>
      <c r="C4" s="1" t="s">
        <v>162</v>
      </c>
      <c r="D4" s="1" t="s">
        <v>163</v>
      </c>
      <c r="E4" s="1" t="s">
        <v>164</v>
      </c>
    </row>
    <row r="5" customFormat="false" ht="60" hidden="false" customHeight="true" outlineLevel="0" collapsed="false">
      <c r="A5" s="31" t="s">
        <v>165</v>
      </c>
      <c r="B5" s="31" t="s">
        <v>166</v>
      </c>
      <c r="C5" s="31" t="s">
        <v>167</v>
      </c>
      <c r="D5" s="32" t="s">
        <v>168</v>
      </c>
      <c r="E5" s="31" t="s">
        <v>169</v>
      </c>
    </row>
    <row r="6" customFormat="false" ht="54.75" hidden="false" customHeight="true" outlineLevel="0" collapsed="false">
      <c r="A6" s="33" t="s">
        <v>170</v>
      </c>
      <c r="B6" s="33" t="s">
        <v>171</v>
      </c>
      <c r="C6" s="33" t="s">
        <v>172</v>
      </c>
      <c r="D6" s="34" t="s">
        <v>173</v>
      </c>
      <c r="E6" s="33" t="s">
        <v>174</v>
      </c>
    </row>
    <row r="7" customFormat="false" ht="54.75" hidden="false" customHeight="true" outlineLevel="0" collapsed="false">
      <c r="A7" s="31" t="s">
        <v>175</v>
      </c>
      <c r="B7" s="31" t="s">
        <v>176</v>
      </c>
      <c r="C7" s="31" t="s">
        <v>177</v>
      </c>
      <c r="D7" s="32" t="s">
        <v>168</v>
      </c>
      <c r="E7" s="31" t="s">
        <v>178</v>
      </c>
    </row>
    <row r="8" customFormat="false" ht="54.75" hidden="false" customHeight="true" outlineLevel="0" collapsed="false">
      <c r="A8" s="33" t="s">
        <v>179</v>
      </c>
      <c r="B8" s="33" t="s">
        <v>180</v>
      </c>
      <c r="C8" s="33" t="s">
        <v>181</v>
      </c>
      <c r="D8" s="34" t="s">
        <v>173</v>
      </c>
      <c r="E8" s="33" t="s">
        <v>182</v>
      </c>
    </row>
    <row r="9" customFormat="false" ht="54.75" hidden="false" customHeight="true" outlineLevel="0" collapsed="false">
      <c r="A9" s="31" t="s">
        <v>183</v>
      </c>
      <c r="B9" s="31" t="s">
        <v>184</v>
      </c>
      <c r="C9" s="31" t="s">
        <v>185</v>
      </c>
      <c r="D9" s="35" t="s">
        <v>186</v>
      </c>
      <c r="E9" s="31" t="s">
        <v>187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2026-03-13T18:35:18Z</dcterms:created>
  <dc:creator>openpyxl</dc:creator>
  <dc:description/>
  <dc:language>en-US</dc:language>
  <cp:lastModifiedBy/>
  <dcterms:modified xsi:type="dcterms:W3CDTF">2026-03-13T18:35:18Z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